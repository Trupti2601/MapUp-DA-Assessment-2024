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MY\Desktop\MapUp\MapUp-DA-Assessment-2024\"/>
    </mc:Choice>
  </mc:AlternateContent>
  <bookViews>
    <workbookView xWindow="0" yWindow="504" windowWidth="29400" windowHeight="16296" tabRatio="849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8" l="1"/>
  <c r="B30" i="18" s="1"/>
  <c r="D16" i="16"/>
  <c r="F16" i="16"/>
  <c r="E16" i="16"/>
  <c r="C16" i="16"/>
  <c r="B16" i="16"/>
  <c r="C22" i="19" a="1"/>
  <c r="C22" i="19" s="1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C30" i="18"/>
  <c r="D30" i="18"/>
  <c r="E30" i="18"/>
  <c r="F30" i="18"/>
  <c r="C29" i="18"/>
  <c r="D29" i="18"/>
  <c r="E29" i="18"/>
  <c r="F29" i="18"/>
  <c r="C28" i="18"/>
  <c r="D28" i="18"/>
  <c r="E28" i="18"/>
  <c r="F28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F6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</calcChain>
</file>

<file path=xl/sharedStrings.xml><?xml version="1.0" encoding="utf-8"?>
<sst xmlns="http://schemas.openxmlformats.org/spreadsheetml/2006/main" count="325" uniqueCount="184">
  <si>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</si>
  <si>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</si>
  <si>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</si>
  <si>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</si>
  <si>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</si>
  <si>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</si>
  <si>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</si>
  <si>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</si>
  <si>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</si>
  <si>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</si>
  <si>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</si>
  <si>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</si>
  <si>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</si>
  <si>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</si>
  <si>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</si>
  <si>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</si>
  <si>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</si>
  <si>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</si>
  <si>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</si>
  <si>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</si>
  <si>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</si>
  <si>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</si>
  <si>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</si>
  <si>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</si>
  <si>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</si>
  <si>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</si>
  <si>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</si>
  <si>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</si>
  <si>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</si>
  <si>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</si>
  <si>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</si>
  <si>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</si>
  <si>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</si>
  <si>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</si>
  <si>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</si>
  <si>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</si>
  <si>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</si>
  <si>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</si>
  <si>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</si>
  <si>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</si>
  <si>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</si>
  <si>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</si>
  <si>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</si>
  <si>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</si>
  <si>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</si>
  <si>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</si>
  <si>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</si>
  <si>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</si>
  <si>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</si>
  <si>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</si>
  <si>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</si>
  <si>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</si>
  <si>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</si>
  <si>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</si>
  <si>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</si>
  <si>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</si>
  <si>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</si>
  <si>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</si>
  <si>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</si>
  <si>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</si>
  <si>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</si>
  <si>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</si>
  <si>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</si>
  <si>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</si>
  <si>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</si>
  <si>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</si>
  <si>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</si>
  <si>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</si>
  <si>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</si>
  <si>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</si>
  <si>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</si>
  <si>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</si>
  <si>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</si>
  <si>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</si>
  <si>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</si>
  <si>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</si>
  <si>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</si>
  <si>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</si>
  <si>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</si>
  <si>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</si>
  <si>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</si>
  <si>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</si>
  <si>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</si>
  <si>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</si>
  <si>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</si>
  <si>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</si>
  <si>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</si>
  <si>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</si>
  <si>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</si>
  <si>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</si>
  <si>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</si>
  <si>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</si>
  <si>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</si>
  <si>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</si>
  <si>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</si>
  <si>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</si>
  <si>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</si>
  <si>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</si>
  <si>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</si>
  <si>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</si>
  <si>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</si>
  <si>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</si>
  <si>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</si>
  <si>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</si>
  <si>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</si>
  <si>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</si>
  <si>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</si>
  <si>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</si>
  <si>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</si>
  <si>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</si>
  <si>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</si>
  <si>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</si>
  <si>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</si>
  <si>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</si>
  <si>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</si>
  <si>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</si>
  <si>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</si>
  <si>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</si>
  <si>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</si>
  <si>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</si>
  <si>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</si>
  <si>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</si>
  <si>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</si>
  <si>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</si>
  <si>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</si>
  <si>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</si>
  <si>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</si>
  <si>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</si>
  <si>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</si>
  <si>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</si>
  <si>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</si>
  <si>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</si>
  <si>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</si>
  <si>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</si>
  <si>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</si>
  <si>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</si>
  <si>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</si>
  <si>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</si>
  <si>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</si>
  <si>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</si>
  <si>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</si>
  <si>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</si>
  <si>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</si>
  <si>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</si>
  <si>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</si>
  <si>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</si>
  <si>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</si>
  <si>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</si>
  <si>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</si>
  <si>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</si>
  <si>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</si>
  <si>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</si>
  <si>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</si>
  <si>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</si>
  <si>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</si>
  <si>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</si>
  <si>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</si>
  <si>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</si>
  <si>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</si>
  <si>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</si>
  <si>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</si>
  <si>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</si>
  <si>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</si>
  <si>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</si>
  <si>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</si>
  <si>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</si>
  <si>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</si>
  <si>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</si>
  <si>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</si>
  <si>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</si>
  <si>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</si>
  <si>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</si>
  <si>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</si>
  <si>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</si>
  <si>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=SUMIF(H2:H40, "&gt;20")'</t>
  </si>
  <si>
    <t>Red, Green- used conditional formatting</t>
  </si>
  <si>
    <t>used freeze panes</t>
  </si>
  <si>
    <t>used ctrl+1 - format cell</t>
  </si>
  <si>
    <r>
      <t>Formula/Functionality used:</t>
    </r>
    <r>
      <rPr>
        <sz val="10"/>
        <color rgb="FF000000"/>
        <rFont val="Calibri"/>
        <family val="2"/>
        <scheme val="minor"/>
      </rPr>
      <t xml:space="preserve"> =INDEX($B$10:$J$18, MATCH(VLOOKUP(A23, $M$10:$N$18, 2, FALSE), $A$10:$A$18, 0), MATCH(VLOOKUP(B23, $M$10:$N$18, 2, FALSE), $B$9:$J$9, 0))</t>
    </r>
  </si>
  <si>
    <r>
      <t xml:space="preserve">Formula/Functionality used: </t>
    </r>
    <r>
      <rPr>
        <sz val="11"/>
        <color rgb="FF000000"/>
        <rFont val="Calibri"/>
        <family val="2"/>
        <scheme val="minor"/>
      </rPr>
      <t>=SUM(IF(ISNA(C12:C21),20,C12:C21))</t>
    </r>
  </si>
  <si>
    <r>
      <t xml:space="preserve">Explanation: </t>
    </r>
    <r>
      <rPr>
        <sz val="11"/>
        <color rgb="FF000000"/>
        <rFont val="Calibri"/>
        <family val="2"/>
        <scheme val="minor"/>
      </rPr>
      <t xml:space="preserve">Used SUM() in which IF() is used for - if value in given range is null then substitute by 20 else use value in current cell, to ccheck null ISNA() function is used. </t>
    </r>
  </si>
  <si>
    <r>
      <t xml:space="preserve">Formula/Functionality used: </t>
    </r>
    <r>
      <rPr>
        <sz val="10"/>
        <color rgb="FF000000"/>
        <rFont val="Calibri"/>
        <family val="2"/>
        <scheme val="minor"/>
      </rPr>
      <t>for col_1 "=LEFT(A16, SEARCH("-", A16) - 1)", for col_3 "=MID(A16, SEARCH("-", A16) + 1, SEARCH("-", A16, SEARCH("-", A16) + 1) - SEARCH("-", A16) - 1)", for col_4"=MID(A16, SEARCH("-", A16, SEARCH("-", A16) + 1) + 1, SEARCH("-", A16, SEARCH("-", A16, SEARCH("-", A16) + 1) + 1) - SEARCH("-", A16, SEARCH("-", A16) + 1) - 1),"  for col_5 "=MID(A16, SEARCH("-", A16, SEARCH("-", A16, SEARCH("-", A16) + 1) + 1) + 1, SEARCH("-", A16, SEARCH("-", A16, SEARCH("-", A16, SEARCH("-", A16) + 1) + 1) + 1) - SEARCH("-", A16, SEARCH("-", A16, SEARCH("-", A16) + 1) + 1) - 1)", for col_6 "=RIGHT(A16,2)"</t>
    </r>
  </si>
  <si>
    <r>
      <t xml:space="preserve">Explanation: </t>
    </r>
    <r>
      <rPr>
        <sz val="10"/>
        <color rgb="FF000000"/>
        <rFont val="Calibri"/>
        <family val="2"/>
        <scheme val="minor"/>
      </rPr>
      <t>for col_1 "=LEFT(A16, SEARCH("-", A16) - 1)" this formula is used to find leftmost value from range A16 to one characher less from "-". Similarly for eah colunm the same formula is modified, I have used LEFT(), RIGHT() and MID(), but I could also use =TEXTSPLIT(A16,"-") and it would work the same with less overhead but I have older version of excel, then I dragged each formula down for all rows.</t>
    </r>
  </si>
  <si>
    <r>
      <t xml:space="preserve">Explanation: </t>
    </r>
    <r>
      <rPr>
        <sz val="10"/>
        <color rgb="FF000000"/>
        <rFont val="Calibri"/>
        <family val="2"/>
        <scheme val="minor"/>
      </rPr>
      <t>(VLOOKUP(A23, $M$10:$N$18, 2, FALSE) looks for the value of name_1 in Table_B and MATCH() is used to match the value returned by VLOOKUP in Table_A, similar for aula is used to match value in name_2 column, INDEX() is used the retrive value from row and column we got from MATCH function., then I drageed the formula down for generating results in eacch row.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</si>
</sst>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7" fillId="0" borderId="0" xfId="0" applyNumberFormat="1" applyFont="1"/>
    <xf numFmtId="167" fontId="3" fillId="0" borderId="0" xfId="0" applyNumberFormat="1" applyFont="1"/>
    <xf numFmtId="0" fontId="14" fillId="0" borderId="0" xfId="0" quotePrefix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ont>
        <color rgb="FFFF0000"/>
      </font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tabSelected="1"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106</v>
      </c>
    </row>
    <row r="2" spans="1:3" x14ac:dyDescent="0.3">
      <c r="A2" s="2" t="s">
        <v>107</v>
      </c>
    </row>
    <row r="3" spans="1:3" x14ac:dyDescent="0.3">
      <c r="A3" s="2" t="s">
        <v>108</v>
      </c>
    </row>
    <row r="4" spans="1:3" ht="14.4" x14ac:dyDescent="0.3">
      <c r="A4" s="2" t="s">
        <v>173</v>
      </c>
      <c r="C4" s="1"/>
    </row>
    <row r="5" spans="1:3" x14ac:dyDescent="0.3">
      <c r="A5" s="2" t="s">
        <v>149</v>
      </c>
    </row>
    <row r="8" spans="1:3" x14ac:dyDescent="0.3">
      <c r="A8" s="2" t="s">
        <v>169</v>
      </c>
    </row>
    <row r="9" spans="1:3" x14ac:dyDescent="0.3">
      <c r="A9" s="34" t="s">
        <v>167</v>
      </c>
      <c r="B9" s="25" t="s">
        <v>165</v>
      </c>
    </row>
    <row r="10" spans="1:3" x14ac:dyDescent="0.3">
      <c r="A10" s="33" t="s">
        <v>168</v>
      </c>
      <c r="B10" s="35">
        <v>25</v>
      </c>
    </row>
    <row r="11" spans="1:3" x14ac:dyDescent="0.3">
      <c r="A11" s="33" t="s">
        <v>53</v>
      </c>
      <c r="B11" s="35">
        <v>30</v>
      </c>
    </row>
    <row r="12" spans="1:3" x14ac:dyDescent="0.3">
      <c r="A12" s="33" t="s">
        <v>54</v>
      </c>
      <c r="B12" s="35">
        <v>10</v>
      </c>
    </row>
    <row r="13" spans="1:3" x14ac:dyDescent="0.3">
      <c r="A13" s="33" t="s">
        <v>83</v>
      </c>
      <c r="B13" s="35">
        <v>20</v>
      </c>
    </row>
    <row r="14" spans="1:3" x14ac:dyDescent="0.3">
      <c r="A14" s="33" t="s">
        <v>96</v>
      </c>
      <c r="B14" s="35">
        <v>40</v>
      </c>
    </row>
    <row r="15" spans="1:3" x14ac:dyDescent="0.3">
      <c r="A15" s="36" t="s">
        <v>166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topLeftCell="J1" zoomScaleNormal="100" workbookViewId="0">
      <pane ySplit="1" topLeftCell="A2" activePane="bottomLeft" state="frozen"/>
      <selection pane="bottomLeft" activeCell="V2" sqref="V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4" bestFit="1" customWidth="1"/>
    <col min="25" max="16384" width="9" style="1"/>
  </cols>
  <sheetData>
    <row r="1" spans="1:24" s="3" customFormat="1" ht="14.7" customHeight="1" x14ac:dyDescent="0.3">
      <c r="A1" s="26" t="s">
        <v>62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77</v>
      </c>
      <c r="H1" s="28" t="s">
        <v>63</v>
      </c>
      <c r="I1" s="28" t="s">
        <v>64</v>
      </c>
      <c r="J1" s="29" t="s">
        <v>65</v>
      </c>
      <c r="K1" s="29" t="s">
        <v>66</v>
      </c>
      <c r="L1" s="29" t="s">
        <v>67</v>
      </c>
      <c r="M1" s="28" t="s">
        <v>68</v>
      </c>
      <c r="N1" s="28" t="s">
        <v>69</v>
      </c>
      <c r="O1" s="28" t="s">
        <v>70</v>
      </c>
      <c r="P1" s="29" t="s">
        <v>71</v>
      </c>
      <c r="Q1" s="29" t="s">
        <v>72</v>
      </c>
      <c r="R1" s="29" t="s">
        <v>73</v>
      </c>
      <c r="S1" s="28" t="s">
        <v>78</v>
      </c>
      <c r="T1" s="28" t="s">
        <v>74</v>
      </c>
      <c r="U1" s="29" t="s">
        <v>79</v>
      </c>
      <c r="V1" s="29" t="s">
        <v>75</v>
      </c>
      <c r="W1" s="29" t="s">
        <v>76</v>
      </c>
      <c r="X1" s="43" t="s">
        <v>103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">
      <c r="A27" s="1" t="s">
        <v>55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">
      <c r="A30" s="1" t="s">
        <v>56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1" spans="1:24" x14ac:dyDescent="0.3">
      <c r="H41" s="1">
        <f>SUMIF(H2:H40, "&gt;20")</f>
        <v>1473.0000000000002</v>
      </c>
    </row>
  </sheetData>
  <conditionalFormatting sqref="A1:A1048576">
    <cfRule type="duplicateValues" dxfId="3" priority="3"/>
  </conditionalFormatting>
  <conditionalFormatting sqref="B1:B1048576">
    <cfRule type="duplicateValues" dxfId="2" priority="2"/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780F71E3-9B3C-498F-BFE9-9AE6AC15B634}">
            <xm:f>NOT(ISERROR(SEARCH(-1,A1)))</xm:f>
            <xm:f>-1</xm:f>
            <x14:dxf>
              <font>
                <color rgb="FFFF0000"/>
              </font>
            </x14:dxf>
          </x14:cfRule>
          <xm:sqref>A1:XFD1048576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9" sqref="C9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46</v>
      </c>
      <c r="B1" s="4" t="s">
        <v>47</v>
      </c>
      <c r="C1" s="4" t="s">
        <v>44</v>
      </c>
      <c r="E1" s="4" t="s">
        <v>172</v>
      </c>
    </row>
    <row r="2" spans="1:5" x14ac:dyDescent="0.3">
      <c r="A2" s="2"/>
      <c r="B2" s="5" t="s">
        <v>156</v>
      </c>
      <c r="C2" s="2"/>
    </row>
    <row r="3" spans="1:5" x14ac:dyDescent="0.3">
      <c r="A3" s="6">
        <v>1</v>
      </c>
      <c r="B3" s="2" t="s">
        <v>105</v>
      </c>
      <c r="C3" s="2" t="s">
        <v>175</v>
      </c>
      <c r="E3" s="1">
        <v>5</v>
      </c>
    </row>
    <row r="4" spans="1:5" x14ac:dyDescent="0.3">
      <c r="A4" s="6">
        <v>2</v>
      </c>
      <c r="B4" s="2" t="s">
        <v>45</v>
      </c>
      <c r="C4" s="2" t="s">
        <v>176</v>
      </c>
      <c r="E4" s="1">
        <v>5</v>
      </c>
    </row>
    <row r="5" spans="1:5" x14ac:dyDescent="0.3">
      <c r="A5" s="6">
        <v>3</v>
      </c>
      <c r="B5" s="2" t="s">
        <v>102</v>
      </c>
      <c r="C5" s="45" t="s">
        <v>174</v>
      </c>
      <c r="E5" s="1">
        <v>10</v>
      </c>
    </row>
    <row r="6" spans="1:5" x14ac:dyDescent="0.3">
      <c r="A6" s="6">
        <v>4</v>
      </c>
      <c r="B6" s="2" t="s">
        <v>104</v>
      </c>
      <c r="C6" s="2" t="s">
        <v>177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53</v>
      </c>
      <c r="B1" s="39" t="s">
        <v>160</v>
      </c>
    </row>
    <row r="2" spans="1:7" s="39" customFormat="1" ht="21" x14ac:dyDescent="0.4">
      <c r="B2" s="39" t="s">
        <v>157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158</v>
      </c>
      <c r="B4" s="1"/>
      <c r="C4" s="1"/>
      <c r="D4" s="1"/>
      <c r="E4" s="1"/>
      <c r="F4" s="1"/>
      <c r="G4" s="1"/>
    </row>
    <row r="5" spans="1:7" ht="14.4" x14ac:dyDescent="0.3">
      <c r="A5" s="19" t="s">
        <v>62</v>
      </c>
      <c r="B5" s="20" t="s">
        <v>77</v>
      </c>
      <c r="C5" s="21" t="s">
        <v>69</v>
      </c>
      <c r="D5" s="20" t="s">
        <v>73</v>
      </c>
      <c r="E5" s="21" t="s">
        <v>74</v>
      </c>
      <c r="F5" s="22" t="s">
        <v>75</v>
      </c>
    </row>
    <row r="6" spans="1:7" ht="14.4" x14ac:dyDescent="0.3">
      <c r="A6" s="7" t="s">
        <v>40</v>
      </c>
      <c r="B6" s="11">
        <f>INDEX(Dataset!G2:G40, MATCH(Task_2!A6, Dataset!A2:A40, 0))</f>
        <v>2.7</v>
      </c>
      <c r="C6" s="11">
        <f>INDEX(Dataset!N2:N40, MATCH(Task_2!A6, Dataset!A2:A40, 0))</f>
        <v>7.6</v>
      </c>
      <c r="D6" s="11">
        <f>INDEX(Dataset!R2:R40, MATCH(Task_2!A6, Dataset!A2:A40, 0))</f>
        <v>4.2</v>
      </c>
      <c r="E6" s="11">
        <f>INDEX(Dataset!T2:T40, MATCH(Task_2!A6, Dataset!A2:A40, 0))</f>
        <v>8.9</v>
      </c>
      <c r="F6" s="8">
        <f>INDEX(Dataset!V2:V40, MATCH(Task_2!A6, Dataset!A2:A40, 0))</f>
        <v>4.2</v>
      </c>
    </row>
    <row r="7" spans="1:7" ht="14.4" x14ac:dyDescent="0.3">
      <c r="A7" s="7" t="s">
        <v>4</v>
      </c>
      <c r="B7" s="11">
        <f>INDEX(Dataset!G3:G41, MATCH(Task_2!A7, Dataset!A3:A41, 0))</f>
        <v>2.7</v>
      </c>
      <c r="C7" s="11">
        <f>INDEX(Dataset!N3:N41, MATCH(Task_2!A7, Dataset!A3:A41, 0))</f>
        <v>7.6</v>
      </c>
      <c r="D7" s="11">
        <f>INDEX(Dataset!R3:R41, MATCH(Task_2!A7, Dataset!A3:A41, 0))</f>
        <v>4.2</v>
      </c>
      <c r="E7" s="11">
        <f>INDEX(Dataset!T3:T41, MATCH(Task_2!A7, Dataset!A3:A41, 0))</f>
        <v>8.9</v>
      </c>
      <c r="F7" s="8">
        <f>INDEX(Dataset!V3:V41, MATCH(Task_2!A7, Dataset!A3:A41, 0))</f>
        <v>4.2</v>
      </c>
    </row>
    <row r="8" spans="1:7" ht="14.4" x14ac:dyDescent="0.3">
      <c r="A8" s="7" t="s">
        <v>7</v>
      </c>
      <c r="B8" s="11">
        <f>INDEX(Dataset!G4:G42, MATCH(Task_2!A8, Dataset!A4:A42, 0))</f>
        <v>3.6</v>
      </c>
      <c r="C8" s="11">
        <f>INDEX(Dataset!N4:N42, MATCH(Task_2!A8, Dataset!A4:A42, 0))</f>
        <v>11.1</v>
      </c>
      <c r="D8" s="11">
        <f>INDEX(Dataset!R4:R42, MATCH(Task_2!A8, Dataset!A4:A42, 0))</f>
        <v>5.8</v>
      </c>
      <c r="E8" s="11">
        <f>INDEX(Dataset!T4:T42, MATCH(Task_2!A8, Dataset!A4:A42, 0))</f>
        <v>12.2</v>
      </c>
      <c r="F8" s="8">
        <f>INDEX(Dataset!V4:V42, MATCH(Task_2!A8, Dataset!A4:A42, 0))</f>
        <v>5.8</v>
      </c>
    </row>
    <row r="9" spans="1:7" ht="14.4" x14ac:dyDescent="0.3">
      <c r="A9" s="7" t="s">
        <v>8</v>
      </c>
      <c r="B9" s="11">
        <f>INDEX(Dataset!G5:G43, MATCH(Task_2!A9, Dataset!A5:A43, 0))</f>
        <v>4.9000000000000004</v>
      </c>
      <c r="C9" s="11">
        <f>INDEX(Dataset!N5:N43, MATCH(Task_2!A9, Dataset!A5:A43, 0))</f>
        <v>13.3</v>
      </c>
      <c r="D9" s="11">
        <f>INDEX(Dataset!R5:R43, MATCH(Task_2!A9, Dataset!A5:A43, 0))</f>
        <v>8.1</v>
      </c>
      <c r="E9" s="11">
        <f>INDEX(Dataset!T5:T43, MATCH(Task_2!A9, Dataset!A5:A43, 0))</f>
        <v>17</v>
      </c>
      <c r="F9" s="8">
        <f>INDEX(Dataset!V5:V43, MATCH(Task_2!A9, Dataset!A5:A43, 0))</f>
        <v>8.1</v>
      </c>
    </row>
    <row r="10" spans="1:7" ht="14.4" x14ac:dyDescent="0.3">
      <c r="A10" s="7" t="s">
        <v>11</v>
      </c>
      <c r="B10" s="11">
        <f>INDEX(Dataset!G6:G44, MATCH(Task_2!A10, Dataset!A6:A44, 0))</f>
        <v>9.4</v>
      </c>
      <c r="C10" s="11">
        <f>INDEX(Dataset!N6:N44, MATCH(Task_2!A10, Dataset!A6:A44, 0))</f>
        <v>28.3</v>
      </c>
      <c r="D10" s="11">
        <f>INDEX(Dataset!R6:R44, MATCH(Task_2!A10, Dataset!A6:A44, 0))</f>
        <v>16.100000000000001</v>
      </c>
      <c r="E10" s="11">
        <f>INDEX(Dataset!T6:T44, MATCH(Task_2!A10, Dataset!A6:A44, 0))</f>
        <v>32.799999999999997</v>
      </c>
      <c r="F10" s="8">
        <f>INDEX(Dataset!V6:V44, MATCH(Task_2!A10, Dataset!A6:A44, 0))</f>
        <v>16.100000000000001</v>
      </c>
    </row>
    <row r="11" spans="1:7" ht="14.4" x14ac:dyDescent="0.3">
      <c r="A11" s="7" t="s">
        <v>12</v>
      </c>
      <c r="B11" s="11">
        <f>INDEX(Dataset!G7:G45, MATCH(Task_2!A11, Dataset!A7:A45, 0))</f>
        <v>11.6</v>
      </c>
      <c r="C11" s="11">
        <f>INDEX(Dataset!N7:N45, MATCH(Task_2!A11, Dataset!A7:A45, 0))</f>
        <v>35.200000000000003</v>
      </c>
      <c r="D11" s="11">
        <f>INDEX(Dataset!R7:R45, MATCH(Task_2!A11, Dataset!A7:A45, 0))</f>
        <v>21.3</v>
      </c>
      <c r="E11" s="11">
        <f>INDEX(Dataset!T7:T45, MATCH(Task_2!A11, Dataset!A7:A45, 0))</f>
        <v>43</v>
      </c>
      <c r="F11" s="8">
        <f>INDEX(Dataset!V7:V45, MATCH(Task_2!A11, Dataset!A7:A45, 0))</f>
        <v>21.3</v>
      </c>
    </row>
    <row r="12" spans="1:7" ht="14.4" x14ac:dyDescent="0.3">
      <c r="A12" s="7" t="s">
        <v>14</v>
      </c>
      <c r="B12" s="11">
        <f>INDEX(Dataset!G8:G46, MATCH(Task_2!A12, Dataset!A8:A46, 0))</f>
        <v>18.399999999999999</v>
      </c>
      <c r="C12" s="11">
        <f>INDEX(Dataset!N8:N46, MATCH(Task_2!A12, Dataset!A8:A46, 0))</f>
        <v>55.6</v>
      </c>
      <c r="D12" s="11">
        <f>INDEX(Dataset!R8:R46, MATCH(Task_2!A12, Dataset!A8:A46, 0))</f>
        <v>33.799999999999997</v>
      </c>
      <c r="E12" s="11">
        <f>INDEX(Dataset!T8:T46, MATCH(Task_2!A12, Dataset!A8:A46, 0))</f>
        <v>67.900000000000006</v>
      </c>
      <c r="F12" s="8">
        <f>INDEX(Dataset!V8:V46, MATCH(Task_2!A12, Dataset!A8:A46, 0))</f>
        <v>33.799999999999997</v>
      </c>
    </row>
    <row r="13" spans="1:7" ht="14.4" x14ac:dyDescent="0.3">
      <c r="A13" s="7" t="s">
        <v>15</v>
      </c>
      <c r="B13" s="11">
        <f>INDEX(Dataset!G9:G47, MATCH(Task_2!A13, Dataset!A9:A47, 0))</f>
        <v>0</v>
      </c>
      <c r="C13" s="11">
        <f>INDEX(Dataset!N9:N47, MATCH(Task_2!A13, Dataset!A9:A47, 0))</f>
        <v>0</v>
      </c>
      <c r="D13" s="11">
        <f>INDEX(Dataset!R9:R47, MATCH(Task_2!A13, Dataset!A9:A47, 0))</f>
        <v>0</v>
      </c>
      <c r="E13" s="11">
        <f>INDEX(Dataset!T9:T47, MATCH(Task_2!A13, Dataset!A9:A47, 0))</f>
        <v>0</v>
      </c>
      <c r="F13" s="8">
        <f>INDEX(Dataset!V9:V47, MATCH(Task_2!A13, Dataset!A9:A47, 0))</f>
        <v>0</v>
      </c>
    </row>
    <row r="14" spans="1:7" ht="14.4" x14ac:dyDescent="0.3">
      <c r="A14" s="7" t="s">
        <v>16</v>
      </c>
      <c r="B14" s="11">
        <f>INDEX(Dataset!G10:G48, MATCH(Task_2!A14, Dataset!A10:A48, 0))</f>
        <v>21.9</v>
      </c>
      <c r="C14" s="11">
        <f>INDEX(Dataset!N10:N48, MATCH(Task_2!A14, Dataset!A10:A48, 0))</f>
        <v>61.5</v>
      </c>
      <c r="D14" s="11">
        <f>INDEX(Dataset!R10:R48, MATCH(Task_2!A14, Dataset!A10:A48, 0))</f>
        <v>40.1</v>
      </c>
      <c r="E14" s="11">
        <f>INDEX(Dataset!T10:T48, MATCH(Task_2!A14, Dataset!A10:A48, 0))</f>
        <v>76.599999999999994</v>
      </c>
      <c r="F14" s="8">
        <f>INDEX(Dataset!V10:V48, MATCH(Task_2!A14, Dataset!A10:A48, 0))</f>
        <v>40.1</v>
      </c>
    </row>
    <row r="15" spans="1:7" ht="14.4" x14ac:dyDescent="0.3">
      <c r="A15" s="7" t="s">
        <v>18</v>
      </c>
      <c r="B15" s="11">
        <f>INDEX(Dataset!G11:G49, MATCH(Task_2!A15, Dataset!A11:A49, 0))</f>
        <v>26.8</v>
      </c>
      <c r="C15" s="11">
        <f>INDEX(Dataset!N11:N49, MATCH(Task_2!A15, Dataset!A11:A49, 0))</f>
        <v>79.599999999999994</v>
      </c>
      <c r="D15" s="11">
        <f>INDEX(Dataset!R11:R49, MATCH(Task_2!A15, Dataset!A11:A49, 0))</f>
        <v>47.9</v>
      </c>
      <c r="E15" s="11">
        <f>INDEX(Dataset!T11:T49, MATCH(Task_2!A15, Dataset!A11:A49, 0))</f>
        <v>96.8</v>
      </c>
      <c r="F15" s="8">
        <f>INDEX(Dataset!V11:V49, MATCH(Task_2!A15, Dataset!A11:A49, 0))</f>
        <v>47.9</v>
      </c>
    </row>
    <row r="16" spans="1:7" ht="14.4" x14ac:dyDescent="0.3">
      <c r="A16" s="7" t="s">
        <v>20</v>
      </c>
      <c r="B16" s="11">
        <f>INDEX(Dataset!G12:G50, MATCH(Task_2!A16, Dataset!A12:A50, 0))</f>
        <v>28.5</v>
      </c>
      <c r="C16" s="11">
        <f>INDEX(Dataset!N12:N50, MATCH(Task_2!A16, Dataset!A12:A50, 0))</f>
        <v>85.4</v>
      </c>
      <c r="D16" s="11">
        <f>INDEX(Dataset!R12:R50, MATCH(Task_2!A16, Dataset!A12:A50, 0))</f>
        <v>52.3</v>
      </c>
      <c r="E16" s="11">
        <f>INDEX(Dataset!T12:T50, MATCH(Task_2!A16, Dataset!A12:A50, 0))</f>
        <v>106.1</v>
      </c>
      <c r="F16" s="8">
        <f>INDEX(Dataset!V12:V50, MATCH(Task_2!A16, Dataset!A12:A50, 0))</f>
        <v>52.3</v>
      </c>
    </row>
    <row r="17" spans="1:6" ht="14.4" x14ac:dyDescent="0.3">
      <c r="A17" s="7" t="s">
        <v>22</v>
      </c>
      <c r="B17" s="11">
        <f>INDEX(Dataset!G13:G51, MATCH(Task_2!A17, Dataset!A13:A51, 0))</f>
        <v>30.7</v>
      </c>
      <c r="C17" s="11">
        <f>INDEX(Dataset!N13:N51, MATCH(Task_2!A17, Dataset!A13:A51, 0))</f>
        <v>92.1</v>
      </c>
      <c r="D17" s="11">
        <f>INDEX(Dataset!R13:R51, MATCH(Task_2!A17, Dataset!A13:A51, 0))</f>
        <v>57</v>
      </c>
      <c r="E17" s="11">
        <f>INDEX(Dataset!T13:T51, MATCH(Task_2!A17, Dataset!A13:A51, 0))</f>
        <v>115.1</v>
      </c>
      <c r="F17" s="8">
        <f>INDEX(Dataset!V13:V51, MATCH(Task_2!A17, Dataset!A13:A51, 0))</f>
        <v>57</v>
      </c>
    </row>
    <row r="18" spans="1:6" ht="14.4" x14ac:dyDescent="0.3">
      <c r="A18" s="7" t="s">
        <v>23</v>
      </c>
      <c r="B18" s="11">
        <f>INDEX(Dataset!G14:G52, MATCH(Task_2!A18, Dataset!A14:A52, 0))</f>
        <v>33.799999999999997</v>
      </c>
      <c r="C18" s="11">
        <f>INDEX(Dataset!N14:N52, MATCH(Task_2!A18, Dataset!A14:A52, 0))</f>
        <v>101.3</v>
      </c>
      <c r="D18" s="11">
        <f>INDEX(Dataset!R14:R52, MATCH(Task_2!A18, Dataset!A14:A52, 0))</f>
        <v>61.4</v>
      </c>
      <c r="E18" s="11">
        <f>INDEX(Dataset!T14:T52, MATCH(Task_2!A18, Dataset!A14:A52, 0))</f>
        <v>124.4</v>
      </c>
      <c r="F18" s="8">
        <f>INDEX(Dataset!V14:V52, MATCH(Task_2!A18, Dataset!A14:A52, 0))</f>
        <v>61.4</v>
      </c>
    </row>
    <row r="19" spans="1:6" ht="14.4" x14ac:dyDescent="0.3">
      <c r="A19" s="7" t="s">
        <v>24</v>
      </c>
      <c r="B19" s="11">
        <f>INDEX(Dataset!G15:G53, MATCH(Task_2!A19, Dataset!A15:A53, 0))</f>
        <v>34.700000000000003</v>
      </c>
      <c r="C19" s="11">
        <f>INDEX(Dataset!N15:N53, MATCH(Task_2!A19, Dataset!A15:A53, 0))</f>
        <v>106.1</v>
      </c>
      <c r="D19" s="11">
        <f>INDEX(Dataset!R15:R53, MATCH(Task_2!A19, Dataset!A15:A53, 0))</f>
        <v>63.6</v>
      </c>
      <c r="E19" s="11">
        <f>INDEX(Dataset!T15:T53, MATCH(Task_2!A19, Dataset!A15:A53, 0))</f>
        <v>128.6</v>
      </c>
      <c r="F19" s="8">
        <f>INDEX(Dataset!V15:V53, MATCH(Task_2!A19, Dataset!A15:A53, 0))</f>
        <v>63.6</v>
      </c>
    </row>
    <row r="20" spans="1:6" ht="14.4" x14ac:dyDescent="0.3">
      <c r="A20" s="7" t="s">
        <v>28</v>
      </c>
      <c r="B20" s="11">
        <f>INDEX(Dataset!G16:G54, MATCH(Task_2!A20, Dataset!A16:A54, 0))</f>
        <v>0</v>
      </c>
      <c r="C20" s="11">
        <f>INDEX(Dataset!N16:N54, MATCH(Task_2!A20, Dataset!A16:A54, 0))</f>
        <v>0</v>
      </c>
      <c r="D20" s="11">
        <f>INDEX(Dataset!R16:R54, MATCH(Task_2!A20, Dataset!A16:A54, 0))</f>
        <v>0</v>
      </c>
      <c r="E20" s="11">
        <f>INDEX(Dataset!T16:T54, MATCH(Task_2!A20, Dataset!A16:A54, 0))</f>
        <v>0</v>
      </c>
      <c r="F20" s="8">
        <f>INDEX(Dataset!V16:V54, MATCH(Task_2!A20, Dataset!A16:A54, 0))</f>
        <v>0</v>
      </c>
    </row>
    <row r="21" spans="1:6" ht="14.4" x14ac:dyDescent="0.3">
      <c r="A21" s="7" t="s">
        <v>55</v>
      </c>
      <c r="B21" s="11">
        <f>INDEX(Dataset!G17:G55, MATCH(Task_2!A21, Dataset!A17:A55, 0))</f>
        <v>41.3</v>
      </c>
      <c r="C21" s="11">
        <f>INDEX(Dataset!N17:N55, MATCH(Task_2!A21, Dataset!A17:A55, 0))</f>
        <v>124.4</v>
      </c>
      <c r="D21" s="11">
        <f>INDEX(Dataset!R17:R55, MATCH(Task_2!A21, Dataset!A17:A55, 0))</f>
        <v>75</v>
      </c>
      <c r="E21" s="11">
        <f>INDEX(Dataset!T17:T55, MATCH(Task_2!A21, Dataset!A17:A55, 0))</f>
        <v>151.5</v>
      </c>
      <c r="F21" s="8">
        <f>INDEX(Dataset!V17:V55, MATCH(Task_2!A21, Dataset!A17:A55, 0))</f>
        <v>75</v>
      </c>
    </row>
    <row r="22" spans="1:6" ht="14.4" x14ac:dyDescent="0.3">
      <c r="A22" s="7" t="s">
        <v>56</v>
      </c>
      <c r="B22" s="11">
        <f>INDEX(Dataset!G18:G56, MATCH(Task_2!A22, Dataset!A18:A56, 0))</f>
        <v>-1</v>
      </c>
      <c r="C22" s="11">
        <f>INDEX(Dataset!N18:N56, MATCH(Task_2!A22, Dataset!A18:A56, 0))</f>
        <v>-1</v>
      </c>
      <c r="D22" s="11">
        <v>-1</v>
      </c>
      <c r="E22" s="11">
        <f>INDEX(Dataset!T18:T56, MATCH(Task_2!A22, Dataset!A18:A56, 0))</f>
        <v>-1</v>
      </c>
      <c r="F22" s="8">
        <f>INDEX(Dataset!V18:V56, MATCH(Task_2!A22, Dataset!A18:A56, 0))</f>
        <v>-1</v>
      </c>
    </row>
    <row r="23" spans="1:6" ht="14.4" x14ac:dyDescent="0.3">
      <c r="A23" s="7" t="s">
        <v>31</v>
      </c>
      <c r="B23" s="11">
        <f>INDEX(Dataset!G19:G57, MATCH(Task_2!A23, Dataset!A19:A57, 0))</f>
        <v>45</v>
      </c>
      <c r="C23" s="11">
        <f>INDEX(Dataset!N19:N57, MATCH(Task_2!A23, Dataset!A19:A57, 0))</f>
        <v>133.4</v>
      </c>
      <c r="D23" s="11">
        <f>INDEX(Dataset!R19:R57, MATCH(Task_2!A23, Dataset!A19:A57, 0))</f>
        <v>79.400000000000006</v>
      </c>
      <c r="E23" s="11">
        <f>INDEX(Dataset!T19:T57, MATCH(Task_2!A23, Dataset!A19:A57, 0))</f>
        <v>160.9</v>
      </c>
      <c r="F23" s="8">
        <f>INDEX(Dataset!V19:V57, MATCH(Task_2!A23, Dataset!A19:A57, 0))</f>
        <v>79.400000000000006</v>
      </c>
    </row>
    <row r="24" spans="1:6" ht="14.4" x14ac:dyDescent="0.3">
      <c r="A24" s="7" t="s">
        <v>32</v>
      </c>
      <c r="B24" s="11">
        <f>INDEX(Dataset!G20:G58, MATCH(Task_2!A24, Dataset!A20:A58, 0))</f>
        <v>-1</v>
      </c>
      <c r="C24" s="11">
        <f>INDEX(Dataset!N20:N58, MATCH(Task_2!A24, Dataset!A20:A58, 0))</f>
        <v>-1</v>
      </c>
      <c r="D24" s="11">
        <f>INDEX(Dataset!R20:R58, MATCH(Task_2!A24, Dataset!A20:A58, 0))</f>
        <v>-1</v>
      </c>
      <c r="E24" s="11">
        <f>INDEX(Dataset!T20:T58, MATCH(Task_2!A24, Dataset!A20:A58, 0))</f>
        <v>-1</v>
      </c>
      <c r="F24" s="8">
        <f>INDEX(Dataset!V20:V58, MATCH(Task_2!A24, Dataset!A20:A58, 0))</f>
        <v>-1</v>
      </c>
    </row>
    <row r="25" spans="1:6" ht="14.4" x14ac:dyDescent="0.3">
      <c r="A25" s="7" t="s">
        <v>34</v>
      </c>
      <c r="B25" s="11">
        <f>INDEX(Dataset!G21:G59, MATCH(Task_2!A25, Dataset!A21:A59, 0))</f>
        <v>43.3</v>
      </c>
      <c r="C25" s="11">
        <f>INDEX(Dataset!N21:N59, MATCH(Task_2!A25, Dataset!A21:A59, 0))</f>
        <v>128.6</v>
      </c>
      <c r="D25" s="11">
        <f>INDEX(Dataset!R21:R59, MATCH(Task_2!A25, Dataset!A21:A59, 0))</f>
        <v>79.400000000000006</v>
      </c>
      <c r="E25" s="11">
        <f>INDEX(Dataset!T21:T59, MATCH(Task_2!A25, Dataset!A21:A59, 0))</f>
        <v>160.9</v>
      </c>
      <c r="F25" s="8">
        <f>INDEX(Dataset!V21:V59, MATCH(Task_2!A25, Dataset!A21:A59, 0))</f>
        <v>79.400000000000006</v>
      </c>
    </row>
    <row r="26" spans="1:6" ht="14.4" x14ac:dyDescent="0.3">
      <c r="A26" s="7" t="s">
        <v>37</v>
      </c>
      <c r="B26" s="11">
        <f>INDEX(Dataset!G22:G60, MATCH(Task_2!A26, Dataset!A22:A60, 0))</f>
        <v>49.1</v>
      </c>
      <c r="C26" s="11">
        <f>INDEX(Dataset!N22:N60, MATCH(Task_2!A26, Dataset!A22:A60, 0))</f>
        <v>146.80000000000001</v>
      </c>
      <c r="D26" s="11">
        <f>INDEX(Dataset!R22:R60, MATCH(Task_2!A26, Dataset!A22:A60, 0))</f>
        <v>90.9</v>
      </c>
      <c r="E26" s="11">
        <f>INDEX(Dataset!T22:T60, MATCH(Task_2!A26, Dataset!A22:A60, 0))</f>
        <v>183.5</v>
      </c>
      <c r="F26" s="8">
        <f>INDEX(Dataset!V22:V60, MATCH(Task_2!A26, Dataset!A22:A60, 0))</f>
        <v>90.9</v>
      </c>
    </row>
    <row r="27" spans="1:6" ht="14.4" x14ac:dyDescent="0.3">
      <c r="A27" s="7" t="s">
        <v>39</v>
      </c>
      <c r="B27" s="11">
        <f>INDEX(Dataset!G23:G61, MATCH(Task_2!A27, Dataset!A23:A61, 0))</f>
        <v>51.8</v>
      </c>
      <c r="C27" s="11">
        <f>INDEX(Dataset!N23:N61, MATCH(Task_2!A27, Dataset!A23:A61, 0))</f>
        <v>156.4</v>
      </c>
      <c r="D27" s="11">
        <f>INDEX(Dataset!R23:R61, MATCH(Task_2!A27, Dataset!A23:A61, 0))</f>
        <v>93.1</v>
      </c>
      <c r="E27" s="11">
        <f>INDEX(Dataset!T23:T61, MATCH(Task_2!A27, Dataset!A23:A61, 0))</f>
        <v>188.1</v>
      </c>
      <c r="F27" s="8">
        <f>INDEX(Dataset!V23:V61, MATCH(Task_2!A27, Dataset!A23:A61, 0))</f>
        <v>93.1</v>
      </c>
    </row>
    <row r="28" spans="1:6" ht="14.4" x14ac:dyDescent="0.3">
      <c r="A28" s="18" t="s">
        <v>80</v>
      </c>
      <c r="B28" s="30">
        <f>MIN(B6:B27)</f>
        <v>-1</v>
      </c>
      <c r="C28" s="30">
        <f>MIN(C6:C27)</f>
        <v>-1</v>
      </c>
      <c r="D28" s="30">
        <f t="shared" ref="C28:F28" si="0">MIN(D6:D27)</f>
        <v>-1</v>
      </c>
      <c r="E28" s="30">
        <f t="shared" si="0"/>
        <v>-1</v>
      </c>
      <c r="F28" s="30">
        <f t="shared" si="0"/>
        <v>-1</v>
      </c>
    </row>
    <row r="29" spans="1:6" ht="14.4" x14ac:dyDescent="0.3">
      <c r="A29" s="18" t="s">
        <v>81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4" x14ac:dyDescent="0.3">
      <c r="A30" s="18" t="s">
        <v>82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A6" sqref="A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9" customFormat="1" ht="21" x14ac:dyDescent="0.4">
      <c r="A1" s="40" t="s">
        <v>54</v>
      </c>
      <c r="B1" s="39" t="s">
        <v>170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148</v>
      </c>
    </row>
    <row r="5" spans="1:10" ht="18" x14ac:dyDescent="0.35">
      <c r="A5" s="41" t="s">
        <v>181</v>
      </c>
      <c r="B5" s="2"/>
    </row>
    <row r="6" spans="1:10" ht="18" x14ac:dyDescent="0.35">
      <c r="A6" s="41" t="s">
        <v>182</v>
      </c>
      <c r="B6" s="38"/>
    </row>
    <row r="7" spans="1:10" ht="18" x14ac:dyDescent="0.35">
      <c r="A7" s="41"/>
      <c r="B7" s="38"/>
    </row>
    <row r="9" spans="1:10" ht="23.4" x14ac:dyDescent="0.45">
      <c r="A9" s="17" t="s">
        <v>161</v>
      </c>
      <c r="I9" s="2"/>
      <c r="J9" s="2"/>
    </row>
    <row r="10" spans="1:10" x14ac:dyDescent="0.3">
      <c r="A10" s="32" t="s">
        <v>100</v>
      </c>
      <c r="B10" s="16" t="s">
        <v>48</v>
      </c>
      <c r="C10" s="16" t="s">
        <v>49</v>
      </c>
      <c r="D10" s="16" t="s">
        <v>50</v>
      </c>
      <c r="E10" s="16" t="s">
        <v>51</v>
      </c>
      <c r="F10" s="16" t="s">
        <v>52</v>
      </c>
      <c r="I10" s="2"/>
      <c r="J10" s="2"/>
    </row>
    <row r="11" spans="1:10" x14ac:dyDescent="0.3">
      <c r="A11" s="9" t="s">
        <v>118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158</v>
      </c>
    </row>
    <row r="15" spans="1:10" x14ac:dyDescent="0.3">
      <c r="A15" s="13" t="s">
        <v>101</v>
      </c>
      <c r="B15" s="16" t="s">
        <v>48</v>
      </c>
      <c r="C15" s="14" t="s">
        <v>49</v>
      </c>
      <c r="D15" s="16" t="s">
        <v>50</v>
      </c>
      <c r="E15" s="14" t="s">
        <v>51</v>
      </c>
      <c r="F15" s="16" t="s">
        <v>52</v>
      </c>
    </row>
    <row r="16" spans="1:10" x14ac:dyDescent="0.3">
      <c r="A16" s="7" t="s">
        <v>118</v>
      </c>
      <c r="B16" s="11" t="str">
        <f>LEFT(A16, SEARCH("-", A16) - 1)</f>
        <v>20000</v>
      </c>
      <c r="C16" s="1" t="str">
        <f>MID(A16, SEARCH("-", A16) + 1, SEARCH("-", A16, SEARCH("-", A16) + 1) - SEARCH("-", A16) - 1)</f>
        <v>Monday</v>
      </c>
      <c r="D16" s="11" t="str">
        <f>MID(A16, SEARCH("-", A16, SEARCH("-", A16) + 1) + 1, SEARCH("-", A16, SEARCH("-", A16, SEARCH("-", A16) + 1) + 1) - SEARCH("-", A16, SEARCH("-", A16) + 1) - 1)</f>
        <v>0</v>
      </c>
      <c r="E16" s="1" t="str">
        <f>MID(A16, SEARCH("-", A16, SEARCH("-", A16, SEARCH("-", A16) + 1) + 1) + 1, SEARCH("-", A16, SEARCH("-", A16, SEARCH("-", A16, SEARCH("-", A16) + 1) + 1) + 1) - SEARCH("-", A16, SEARCH("-", A16, SEARCH("-", A16) + 1) + 1) - 1)</f>
        <v>Sunday</v>
      </c>
      <c r="F16" s="11" t="str">
        <f>RIGHT(A16,2)</f>
        <v>24</v>
      </c>
    </row>
    <row r="17" spans="1:6" x14ac:dyDescent="0.3">
      <c r="A17" s="7" t="s">
        <v>119</v>
      </c>
      <c r="B17" s="11" t="str">
        <f t="shared" ref="B17:B54" si="0">LEFT(A17, SEARCH("-", A17) - 1)</f>
        <v>20002</v>
      </c>
      <c r="C17" s="1" t="str">
        <f t="shared" ref="C17:C55" si="1">MID(A17, SEARCH("-", A17) + 1, SEARCH("-", A17, SEARCH("-", A17) + 1) - SEARCH("-", A17) - 1)</f>
        <v>Monday</v>
      </c>
      <c r="D17" s="11" t="str">
        <f t="shared" ref="D17:D54" si="2">MID(A17, SEARCH("-", A17, SEARCH("-", A17) + 1) + 1, SEARCH("-", A17, SEARCH("-", A17, SEARCH("-", A17) + 1) + 1) - SEARCH("-", A17, SEARCH("-", A17) + 1) - 1)</f>
        <v>0</v>
      </c>
      <c r="E17" s="1" t="str">
        <f t="shared" ref="E17:E54" si="3">MID(A17, SEARCH("-", A17, SEARCH("-", A17, SEARCH("-", A17) + 1) + 1) + 1, SEARCH("-", A17, SEARCH("-", A17, SEARCH("-", A17, SEARCH("-", A17) + 1) + 1) + 1) - SEARCH("-", A17, SEARCH("-", A17, SEARCH("-", A17) + 1) + 1) - 1)</f>
        <v>Sunday</v>
      </c>
      <c r="F17" s="11" t="str">
        <f t="shared" ref="F17:F54" si="4">RIGHT(A17,2)</f>
        <v>24</v>
      </c>
    </row>
    <row r="18" spans="1:6" x14ac:dyDescent="0.3">
      <c r="A18" s="7" t="s">
        <v>120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">
      <c r="A19" s="7" t="s">
        <v>121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">
      <c r="A20" s="7" t="s">
        <v>122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">
      <c r="A21" s="7" t="s">
        <v>123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">
      <c r="A22" s="7" t="s">
        <v>124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">
      <c r="A23" s="7" t="s">
        <v>125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">
      <c r="A24" s="7" t="s">
        <v>126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">
      <c r="A25" s="7" t="s">
        <v>127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">
      <c r="A26" s="7" t="s">
        <v>128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">
      <c r="A27" s="7" t="s">
        <v>129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">
      <c r="A28" s="7" t="s">
        <v>130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">
      <c r="A29" s="7" t="s">
        <v>131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">
      <c r="A30" s="7" t="s">
        <v>132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">
      <c r="A31" s="7" t="s">
        <v>133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">
      <c r="A32" s="7" t="s">
        <v>134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">
      <c r="A33" s="7" t="s">
        <v>135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">
      <c r="A34" s="7" t="s">
        <v>136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">
      <c r="A35" s="7" t="s">
        <v>137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">
      <c r="A36" s="7" t="s">
        <v>138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">
      <c r="A37" s="7" t="s">
        <v>139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">
      <c r="A38" s="7" t="s">
        <v>140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">
      <c r="A39" s="7" t="s">
        <v>141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">
      <c r="A40" s="7" t="s">
        <v>142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">
      <c r="A41" s="7" t="s">
        <v>143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">
      <c r="A42" s="7" t="s">
        <v>144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">
      <c r="A43" s="7" t="s">
        <v>145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">
      <c r="A44" s="7" t="s">
        <v>146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">
      <c r="A45" s="7" t="s">
        <v>147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">
      <c r="A46" s="7" t="s">
        <v>109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">
      <c r="A47" s="7" t="s">
        <v>110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">
      <c r="A48" s="7" t="s">
        <v>111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">
      <c r="A49" s="7" t="s">
        <v>112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">
      <c r="A50" s="7" t="s">
        <v>113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">
      <c r="A51" s="7" t="s">
        <v>114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">
      <c r="A52" s="7" t="s">
        <v>115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">
      <c r="A53" s="7" t="s">
        <v>116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">
      <c r="A54" s="9" t="s">
        <v>117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A7" sqref="A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0" t="s">
        <v>83</v>
      </c>
      <c r="B1" s="39" t="s">
        <v>163</v>
      </c>
    </row>
    <row r="2" spans="1:3" ht="18" x14ac:dyDescent="0.35">
      <c r="B2" s="38" t="s">
        <v>162</v>
      </c>
    </row>
    <row r="5" spans="1:3" ht="14.4" x14ac:dyDescent="0.3">
      <c r="B5" s="1" t="s">
        <v>148</v>
      </c>
    </row>
    <row r="6" spans="1:3" ht="14.4" x14ac:dyDescent="0.3">
      <c r="A6" s="3" t="s">
        <v>179</v>
      </c>
      <c r="B6" s="1"/>
    </row>
    <row r="7" spans="1:3" ht="14.4" x14ac:dyDescent="0.3">
      <c r="A7" s="3" t="s">
        <v>180</v>
      </c>
      <c r="B7" s="1"/>
    </row>
    <row r="10" spans="1:3" ht="23.4" x14ac:dyDescent="0.45">
      <c r="A10" s="17" t="s">
        <v>158</v>
      </c>
    </row>
    <row r="11" spans="1:3" ht="14.4" x14ac:dyDescent="0.3">
      <c r="A11" s="31" t="s">
        <v>84</v>
      </c>
      <c r="B11" s="16" t="s">
        <v>85</v>
      </c>
      <c r="C11" s="16" t="s">
        <v>86</v>
      </c>
    </row>
    <row r="12" spans="1:3" ht="14.4" x14ac:dyDescent="0.3">
      <c r="A12" s="31">
        <v>44927</v>
      </c>
      <c r="B12" s="16" t="s">
        <v>57</v>
      </c>
      <c r="C12" s="16">
        <v>200</v>
      </c>
    </row>
    <row r="13" spans="1:3" ht="14.4" x14ac:dyDescent="0.3">
      <c r="A13" s="31">
        <v>44928</v>
      </c>
      <c r="B13" s="16" t="s">
        <v>58</v>
      </c>
      <c r="C13" s="16" t="e">
        <v>#N/A</v>
      </c>
    </row>
    <row r="14" spans="1:3" ht="14.4" x14ac:dyDescent="0.3">
      <c r="A14" s="31">
        <v>44929</v>
      </c>
      <c r="B14" s="16" t="s">
        <v>59</v>
      </c>
      <c r="C14" s="16">
        <v>50</v>
      </c>
    </row>
    <row r="15" spans="1:3" ht="14.4" x14ac:dyDescent="0.3">
      <c r="A15" s="31">
        <v>44930</v>
      </c>
      <c r="B15" s="16" t="s">
        <v>60</v>
      </c>
      <c r="C15" s="16" t="e">
        <v>#N/A</v>
      </c>
    </row>
    <row r="16" spans="1:3" ht="14.4" x14ac:dyDescent="0.3">
      <c r="A16" s="31">
        <v>44931</v>
      </c>
      <c r="B16" s="16" t="s">
        <v>61</v>
      </c>
      <c r="C16" s="16">
        <v>10</v>
      </c>
    </row>
    <row r="17" spans="1:3" ht="14.4" x14ac:dyDescent="0.3">
      <c r="A17" s="31">
        <v>44932</v>
      </c>
      <c r="B17" s="16" t="s">
        <v>150</v>
      </c>
      <c r="C17" s="16">
        <v>150</v>
      </c>
    </row>
    <row r="18" spans="1:3" ht="14.4" x14ac:dyDescent="0.3">
      <c r="A18" s="31">
        <v>44933</v>
      </c>
      <c r="B18" s="16" t="s">
        <v>151</v>
      </c>
      <c r="C18" s="16">
        <v>80</v>
      </c>
    </row>
    <row r="19" spans="1:3" ht="14.4" x14ac:dyDescent="0.3">
      <c r="A19" s="31">
        <v>44934</v>
      </c>
      <c r="B19" s="16" t="s">
        <v>152</v>
      </c>
      <c r="C19" s="16" t="e">
        <v>#N/A</v>
      </c>
    </row>
    <row r="20" spans="1:3" ht="14.4" x14ac:dyDescent="0.3">
      <c r="A20" s="31">
        <v>44935</v>
      </c>
      <c r="B20" s="16" t="s">
        <v>153</v>
      </c>
      <c r="C20" s="16">
        <v>30</v>
      </c>
    </row>
    <row r="21" spans="1:3" ht="14.4" x14ac:dyDescent="0.3">
      <c r="A21" s="31">
        <v>44936</v>
      </c>
      <c r="B21" s="16" t="s">
        <v>154</v>
      </c>
      <c r="C21" s="16" t="e">
        <v>#N/A</v>
      </c>
    </row>
    <row r="22" spans="1:3" ht="14.4" x14ac:dyDescent="0.3">
      <c r="B22" s="16" t="s">
        <v>155</v>
      </c>
      <c r="C22" s="24">
        <f t="array" ref="C22">SUM(IF(ISNA(C12:C21),20,C12:C21))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zoomScaleNormal="100" workbookViewId="0">
      <selection activeCell="A6" sqref="A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0" t="s">
        <v>96</v>
      </c>
      <c r="B1" s="39" t="s">
        <v>171</v>
      </c>
    </row>
    <row r="3" spans="1:14" ht="14.4" x14ac:dyDescent="0.3">
      <c r="B3" s="1" t="s">
        <v>148</v>
      </c>
    </row>
    <row r="4" spans="1:14" ht="18" x14ac:dyDescent="0.35">
      <c r="A4" s="41" t="s">
        <v>178</v>
      </c>
      <c r="B4" s="1"/>
    </row>
    <row r="5" spans="1:14" ht="18" x14ac:dyDescent="0.35">
      <c r="A5" s="41" t="s">
        <v>183</v>
      </c>
      <c r="B5" s="1"/>
    </row>
    <row r="6" spans="1:14" ht="14.4" x14ac:dyDescent="0.3">
      <c r="A6" s="3"/>
      <c r="B6" s="1"/>
    </row>
    <row r="8" spans="1:14" ht="23.4" x14ac:dyDescent="0.45">
      <c r="A8" s="17" t="s">
        <v>158</v>
      </c>
      <c r="M8" s="17" t="s">
        <v>159</v>
      </c>
    </row>
    <row r="9" spans="1:14" ht="14.4" x14ac:dyDescent="0.3">
      <c r="A9" s="25"/>
      <c r="B9" s="25" t="s">
        <v>87</v>
      </c>
      <c r="C9" s="25" t="s">
        <v>88</v>
      </c>
      <c r="D9" s="25" t="s">
        <v>89</v>
      </c>
      <c r="E9" s="25" t="s">
        <v>90</v>
      </c>
      <c r="F9" s="25" t="s">
        <v>91</v>
      </c>
      <c r="G9" s="25" t="s">
        <v>92</v>
      </c>
      <c r="H9" s="25" t="s">
        <v>93</v>
      </c>
      <c r="I9" s="25" t="s">
        <v>94</v>
      </c>
      <c r="J9" s="25" t="s">
        <v>95</v>
      </c>
      <c r="M9" s="18" t="s">
        <v>43</v>
      </c>
      <c r="N9" s="18" t="s">
        <v>97</v>
      </c>
    </row>
    <row r="10" spans="1:14" ht="14.4" x14ac:dyDescent="0.3">
      <c r="A10" s="25" t="s">
        <v>87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87</v>
      </c>
    </row>
    <row r="11" spans="1:14" ht="14.4" x14ac:dyDescent="0.3">
      <c r="A11" s="25" t="s">
        <v>88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88</v>
      </c>
    </row>
    <row r="12" spans="1:14" ht="14.4" x14ac:dyDescent="0.3">
      <c r="A12" s="25" t="s">
        <v>89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89</v>
      </c>
    </row>
    <row r="13" spans="1:14" ht="14.4" x14ac:dyDescent="0.3">
      <c r="A13" s="25" t="s">
        <v>90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90</v>
      </c>
    </row>
    <row r="14" spans="1:14" ht="14.4" x14ac:dyDescent="0.3">
      <c r="A14" s="25" t="s">
        <v>91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91</v>
      </c>
    </row>
    <row r="15" spans="1:14" ht="14.4" x14ac:dyDescent="0.3">
      <c r="A15" s="25" t="s">
        <v>92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92</v>
      </c>
    </row>
    <row r="16" spans="1:14" ht="14.4" x14ac:dyDescent="0.3">
      <c r="A16" s="25" t="s">
        <v>93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93</v>
      </c>
    </row>
    <row r="17" spans="1:14" ht="14.4" x14ac:dyDescent="0.3">
      <c r="A17" s="25" t="s">
        <v>94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94</v>
      </c>
    </row>
    <row r="18" spans="1:14" ht="14.4" x14ac:dyDescent="0.3">
      <c r="A18" s="25" t="s">
        <v>95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95</v>
      </c>
    </row>
    <row r="21" spans="1:14" ht="23.4" x14ac:dyDescent="0.45">
      <c r="A21" s="17" t="s">
        <v>164</v>
      </c>
    </row>
    <row r="22" spans="1:14" ht="14.4" x14ac:dyDescent="0.3">
      <c r="A22" s="13" t="s">
        <v>98</v>
      </c>
      <c r="B22" s="16" t="s">
        <v>99</v>
      </c>
      <c r="C22" s="15" t="s">
        <v>100</v>
      </c>
    </row>
    <row r="23" spans="1:14" ht="14.4" x14ac:dyDescent="0.3">
      <c r="A23" s="7">
        <v>10100</v>
      </c>
      <c r="B23" s="11">
        <v>10102</v>
      </c>
      <c r="C23" s="42">
        <f>INDEX($B$10:$J$18, MATCH(VLOOKUP(A23, $M$10:$N$18, 2, FALSE), $A$10:$A$18, 0), MATCH(VLOOKUP(B23, $M$10:$N$18, 2, FALSE), $B$9:$J$9, 0))</f>
        <v>95</v>
      </c>
    </row>
    <row r="24" spans="1:14" ht="14.4" x14ac:dyDescent="0.3">
      <c r="A24" s="7">
        <v>10100</v>
      </c>
      <c r="B24" s="11">
        <v>10104</v>
      </c>
      <c r="C24" s="42">
        <f t="shared" ref="C24:C35" si="0">INDEX($B$10:$J$18, MATCH(VLOOKUP(A24, $M$10:$N$18, 2, FALSE), $A$10:$A$18, 0), MATCH(VLOOKUP(B24, $M$10:$N$18, 2, FALSE), $B$9:$J$9, 0))</f>
        <v>-1</v>
      </c>
    </row>
    <row r="25" spans="1:14" ht="14.4" x14ac:dyDescent="0.3">
      <c r="A25" s="7">
        <v>10108</v>
      </c>
      <c r="B25" s="11">
        <v>10102</v>
      </c>
      <c r="C25" s="42">
        <f t="shared" si="0"/>
        <v>160</v>
      </c>
    </row>
    <row r="26" spans="1:14" ht="14.4" x14ac:dyDescent="0.3">
      <c r="A26" s="7">
        <v>10100</v>
      </c>
      <c r="B26" s="11">
        <v>10106</v>
      </c>
      <c r="C26" s="42">
        <f t="shared" si="0"/>
        <v>185</v>
      </c>
    </row>
    <row r="27" spans="1:14" ht="14.4" x14ac:dyDescent="0.3">
      <c r="A27" s="7">
        <v>10108</v>
      </c>
      <c r="B27" s="11">
        <v>10110</v>
      </c>
      <c r="C27" s="42">
        <f t="shared" si="0"/>
        <v>50</v>
      </c>
    </row>
    <row r="28" spans="1:14" ht="14.4" x14ac:dyDescent="0.3">
      <c r="A28" s="7">
        <v>10102</v>
      </c>
      <c r="B28" s="11">
        <v>10104</v>
      </c>
      <c r="C28" s="42">
        <f t="shared" si="0"/>
        <v>-1</v>
      </c>
    </row>
    <row r="29" spans="1:14" ht="14.4" x14ac:dyDescent="0.3">
      <c r="A29" s="7">
        <v>10106</v>
      </c>
      <c r="B29" s="11">
        <v>10108</v>
      </c>
      <c r="C29" s="42">
        <f t="shared" si="0"/>
        <v>70</v>
      </c>
    </row>
    <row r="30" spans="1:14" ht="14.4" x14ac:dyDescent="0.3">
      <c r="A30" s="7">
        <v>10102</v>
      </c>
      <c r="B30" s="11">
        <v>10106</v>
      </c>
      <c r="C30" s="42">
        <f t="shared" si="0"/>
        <v>90</v>
      </c>
    </row>
    <row r="31" spans="1:14" ht="14.4" x14ac:dyDescent="0.3">
      <c r="A31" s="7">
        <v>10110</v>
      </c>
      <c r="B31" s="11">
        <v>10114</v>
      </c>
      <c r="C31" s="42">
        <f t="shared" si="0"/>
        <v>180</v>
      </c>
    </row>
    <row r="32" spans="1:14" ht="14.4" x14ac:dyDescent="0.3">
      <c r="A32" s="7">
        <v>10104</v>
      </c>
      <c r="B32" s="11">
        <v>10106</v>
      </c>
      <c r="C32" s="42">
        <f t="shared" si="0"/>
        <v>60</v>
      </c>
    </row>
    <row r="33" spans="1:3" ht="14.4" x14ac:dyDescent="0.3">
      <c r="A33" s="7">
        <v>10110</v>
      </c>
      <c r="B33" s="11">
        <v>10112</v>
      </c>
      <c r="C33" s="42">
        <f t="shared" si="0"/>
        <v>115</v>
      </c>
    </row>
    <row r="34" spans="1:3" ht="14.4" x14ac:dyDescent="0.3">
      <c r="A34" s="7">
        <v>10100</v>
      </c>
      <c r="B34" s="11">
        <v>10114</v>
      </c>
      <c r="C34" s="42">
        <f t="shared" si="0"/>
        <v>480</v>
      </c>
    </row>
    <row r="35" spans="1:3" ht="14.4" x14ac:dyDescent="0.3">
      <c r="A35" s="9">
        <v>10112</v>
      </c>
      <c r="B35" s="12">
        <v>10116</v>
      </c>
      <c r="C35" s="42">
        <f t="shared" si="0"/>
        <v>105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MY</cp:lastModifiedBy>
  <dcterms:created xsi:type="dcterms:W3CDTF">2015-02-10T17:33:11Z</dcterms:created>
  <dcterms:modified xsi:type="dcterms:W3CDTF">2024-10-24T11:33:25Z</dcterms:modified>
</cp:coreProperties>
</file>